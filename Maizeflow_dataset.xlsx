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i\Downloads\"/>
    </mc:Choice>
  </mc:AlternateContent>
  <xr:revisionPtr revIDLastSave="0" documentId="13_ncr:1_{7235067A-2042-47EC-AEC1-4D1BF929CE88}" xr6:coauthVersionLast="47" xr6:coauthVersionMax="47" xr10:uidLastSave="{00000000-0000-0000-0000-000000000000}"/>
  <bookViews>
    <workbookView xWindow="-110" yWindow="-110" windowWidth="19420" windowHeight="10300" xr2:uid="{5905F953-495E-4A81-BBFE-EDF7EDE086A0}"/>
  </bookViews>
  <sheets>
    <sheet name="data" sheetId="1" r:id="rId1"/>
    <sheet name="Nodes" sheetId="4" r:id="rId2"/>
    <sheet name="Locations" sheetId="2" r:id="rId3"/>
  </sheets>
  <definedNames>
    <definedName name="_xlnm._FilterDatabase" localSheetId="0" hidden="1">data!$C$1:$C$62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M24" i="1" s="1"/>
  <c r="G3" i="1"/>
  <c r="G4" i="1"/>
  <c r="G5" i="1"/>
  <c r="G6" i="1"/>
  <c r="G7" i="1"/>
  <c r="G8" i="1"/>
  <c r="G9" i="1"/>
  <c r="G10" i="1"/>
  <c r="M10" i="1" s="1"/>
  <c r="G11" i="1"/>
  <c r="M11" i="1" s="1"/>
  <c r="G12" i="1"/>
  <c r="M12" i="1" s="1"/>
  <c r="G13" i="1"/>
  <c r="M13" i="1" s="1"/>
  <c r="G14" i="1"/>
  <c r="G15" i="1"/>
  <c r="G16" i="1"/>
  <c r="M16" i="1" s="1"/>
  <c r="G17" i="1"/>
  <c r="M17" i="1" s="1"/>
  <c r="G18" i="1"/>
  <c r="M18" i="1" s="1"/>
  <c r="G19" i="1"/>
  <c r="M19" i="1" s="1"/>
  <c r="G20" i="1"/>
  <c r="G21" i="1"/>
  <c r="G22" i="1"/>
  <c r="M22" i="1" s="1"/>
  <c r="G23" i="1"/>
  <c r="G25" i="1"/>
  <c r="M25" i="1" s="1"/>
  <c r="G26" i="1"/>
  <c r="M26" i="1" s="1"/>
  <c r="G27" i="1"/>
  <c r="G28" i="1"/>
  <c r="G29" i="1"/>
  <c r="G30" i="1"/>
  <c r="G31" i="1"/>
  <c r="G32" i="1"/>
  <c r="M32" i="1" s="1"/>
  <c r="G33" i="1"/>
  <c r="M33" i="1" s="1"/>
  <c r="G34" i="1"/>
  <c r="M34" i="1" s="1"/>
  <c r="G35" i="1"/>
  <c r="M35" i="1" s="1"/>
  <c r="G36" i="1"/>
  <c r="M36" i="1" s="1"/>
  <c r="G37" i="1"/>
  <c r="M37" i="1" s="1"/>
  <c r="G38" i="1"/>
  <c r="M38" i="1" s="1"/>
  <c r="G39" i="1"/>
  <c r="G40" i="1"/>
  <c r="G41" i="1"/>
  <c r="G42" i="1"/>
  <c r="G43" i="1"/>
  <c r="G44" i="1"/>
  <c r="G45" i="1"/>
  <c r="G46" i="1"/>
  <c r="G47" i="1"/>
  <c r="M47" i="1" s="1"/>
  <c r="G48" i="1"/>
  <c r="G49" i="1"/>
  <c r="M49" i="1" s="1"/>
  <c r="G50" i="1"/>
  <c r="M50" i="1" s="1"/>
  <c r="G51" i="1"/>
  <c r="G52" i="1"/>
  <c r="G53" i="1"/>
  <c r="M53" i="1" s="1"/>
  <c r="G54" i="1"/>
  <c r="M54" i="1" s="1"/>
  <c r="G55" i="1"/>
  <c r="M55" i="1" s="1"/>
  <c r="G56" i="1"/>
  <c r="M56" i="1" s="1"/>
  <c r="G57" i="1"/>
  <c r="M57" i="1" s="1"/>
  <c r="G58" i="1"/>
  <c r="M58" i="1" s="1"/>
  <c r="G59" i="1"/>
  <c r="M59" i="1" s="1"/>
  <c r="G60" i="1"/>
  <c r="M60" i="1" s="1"/>
  <c r="G61" i="1"/>
  <c r="M61" i="1" s="1"/>
  <c r="G62" i="1"/>
  <c r="M62" i="1" s="1"/>
  <c r="G2" i="1"/>
  <c r="I20" i="1"/>
  <c r="I32" i="1"/>
  <c r="I38" i="1"/>
  <c r="I39" i="1"/>
  <c r="I44" i="1"/>
  <c r="M4" i="1"/>
  <c r="M5" i="1"/>
  <c r="M6" i="1"/>
  <c r="M7" i="1"/>
  <c r="M9" i="1"/>
  <c r="M14" i="1"/>
  <c r="M28" i="1"/>
  <c r="M29" i="1"/>
  <c r="M30" i="1"/>
  <c r="M31" i="1"/>
  <c r="M40" i="1"/>
  <c r="M41" i="1"/>
  <c r="M42" i="1"/>
  <c r="M43" i="1"/>
  <c r="M52" i="1"/>
  <c r="M3" i="1"/>
  <c r="M2" i="1"/>
  <c r="M15" i="1"/>
  <c r="M8" i="1"/>
  <c r="M20" i="1"/>
  <c r="M21" i="1"/>
  <c r="M23" i="1"/>
  <c r="M27" i="1"/>
  <c r="M39" i="1"/>
  <c r="M44" i="1"/>
  <c r="M45" i="1"/>
  <c r="M46" i="1"/>
  <c r="M48" i="1"/>
  <c r="M51" i="1"/>
  <c r="H56" i="1"/>
  <c r="I56" i="1" s="1"/>
  <c r="F3" i="1"/>
  <c r="H3" i="1" s="1"/>
  <c r="I3" i="1" s="1"/>
  <c r="F4" i="1"/>
  <c r="H4" i="1" s="1"/>
  <c r="I4" i="1" s="1"/>
  <c r="F5" i="1"/>
  <c r="H5" i="1" s="1"/>
  <c r="I5" i="1" s="1"/>
  <c r="F6" i="1"/>
  <c r="H6" i="1" s="1"/>
  <c r="I6" i="1" s="1"/>
  <c r="F7" i="1"/>
  <c r="H7" i="1" s="1"/>
  <c r="I7" i="1" s="1"/>
  <c r="F8" i="1"/>
  <c r="H8" i="1" s="1"/>
  <c r="I8" i="1" s="1"/>
  <c r="F9" i="1"/>
  <c r="H9" i="1" s="1"/>
  <c r="I9" i="1" s="1"/>
  <c r="F10" i="1"/>
  <c r="H10" i="1" s="1"/>
  <c r="I10" i="1" s="1"/>
  <c r="F11" i="1"/>
  <c r="H11" i="1" s="1"/>
  <c r="I11" i="1" s="1"/>
  <c r="F12" i="1"/>
  <c r="H12" i="1" s="1"/>
  <c r="I12" i="1" s="1"/>
  <c r="F13" i="1"/>
  <c r="H13" i="1" s="1"/>
  <c r="I13" i="1" s="1"/>
  <c r="F14" i="1"/>
  <c r="H14" i="1" s="1"/>
  <c r="I14" i="1" s="1"/>
  <c r="F15" i="1"/>
  <c r="H15" i="1" s="1"/>
  <c r="I15" i="1" s="1"/>
  <c r="F16" i="1"/>
  <c r="H16" i="1" s="1"/>
  <c r="I16" i="1" s="1"/>
  <c r="F17" i="1"/>
  <c r="H17" i="1" s="1"/>
  <c r="I17" i="1" s="1"/>
  <c r="F18" i="1"/>
  <c r="H18" i="1" s="1"/>
  <c r="I18" i="1" s="1"/>
  <c r="F19" i="1"/>
  <c r="H19" i="1" s="1"/>
  <c r="I19" i="1" s="1"/>
  <c r="F20" i="1"/>
  <c r="H20" i="1" s="1"/>
  <c r="F21" i="1"/>
  <c r="H21" i="1" s="1"/>
  <c r="I21" i="1" s="1"/>
  <c r="F22" i="1"/>
  <c r="H22" i="1" s="1"/>
  <c r="I22" i="1" s="1"/>
  <c r="F23" i="1"/>
  <c r="H23" i="1" s="1"/>
  <c r="I23" i="1" s="1"/>
  <c r="F24" i="1"/>
  <c r="H24" i="1" s="1"/>
  <c r="I24" i="1" s="1"/>
  <c r="F25" i="1"/>
  <c r="H25" i="1" s="1"/>
  <c r="I25" i="1" s="1"/>
  <c r="F26" i="1"/>
  <c r="H26" i="1" s="1"/>
  <c r="I26" i="1" s="1"/>
  <c r="F27" i="1"/>
  <c r="H27" i="1" s="1"/>
  <c r="I27" i="1" s="1"/>
  <c r="F28" i="1"/>
  <c r="H28" i="1" s="1"/>
  <c r="I28" i="1" s="1"/>
  <c r="F29" i="1"/>
  <c r="H29" i="1" s="1"/>
  <c r="I29" i="1" s="1"/>
  <c r="F30" i="1"/>
  <c r="H30" i="1" s="1"/>
  <c r="I30" i="1" s="1"/>
  <c r="F31" i="1"/>
  <c r="H31" i="1" s="1"/>
  <c r="I31" i="1" s="1"/>
  <c r="F32" i="1"/>
  <c r="H32" i="1" s="1"/>
  <c r="F33" i="1"/>
  <c r="H33" i="1" s="1"/>
  <c r="I33" i="1" s="1"/>
  <c r="F34" i="1"/>
  <c r="H34" i="1" s="1"/>
  <c r="I34" i="1" s="1"/>
  <c r="F35" i="1"/>
  <c r="H35" i="1" s="1"/>
  <c r="I35" i="1" s="1"/>
  <c r="F36" i="1"/>
  <c r="H36" i="1" s="1"/>
  <c r="I36" i="1" s="1"/>
  <c r="F37" i="1"/>
  <c r="H37" i="1" s="1"/>
  <c r="I37" i="1" s="1"/>
  <c r="F38" i="1"/>
  <c r="H38" i="1" s="1"/>
  <c r="F39" i="1"/>
  <c r="H39" i="1" s="1"/>
  <c r="F40" i="1"/>
  <c r="H40" i="1" s="1"/>
  <c r="I40" i="1" s="1"/>
  <c r="F41" i="1"/>
  <c r="H41" i="1" s="1"/>
  <c r="I41" i="1" s="1"/>
  <c r="F42" i="1"/>
  <c r="H42" i="1" s="1"/>
  <c r="I42" i="1" s="1"/>
  <c r="F43" i="1"/>
  <c r="H43" i="1" s="1"/>
  <c r="I43" i="1" s="1"/>
  <c r="F44" i="1"/>
  <c r="H44" i="1" s="1"/>
  <c r="F45" i="1"/>
  <c r="H45" i="1" s="1"/>
  <c r="I45" i="1" s="1"/>
  <c r="F46" i="1"/>
  <c r="H46" i="1" s="1"/>
  <c r="I46" i="1" s="1"/>
  <c r="F47" i="1"/>
  <c r="H47" i="1" s="1"/>
  <c r="I47" i="1" s="1"/>
  <c r="F48" i="1"/>
  <c r="H48" i="1" s="1"/>
  <c r="I48" i="1" s="1"/>
  <c r="F49" i="1"/>
  <c r="H49" i="1" s="1"/>
  <c r="I49" i="1" s="1"/>
  <c r="F50" i="1"/>
  <c r="H50" i="1" s="1"/>
  <c r="I50" i="1" s="1"/>
  <c r="F51" i="1"/>
  <c r="H51" i="1" s="1"/>
  <c r="I51" i="1" s="1"/>
  <c r="F52" i="1"/>
  <c r="H52" i="1" s="1"/>
  <c r="I52" i="1" s="1"/>
  <c r="F53" i="1"/>
  <c r="H53" i="1" s="1"/>
  <c r="I53" i="1" s="1"/>
  <c r="F54" i="1"/>
  <c r="H54" i="1" s="1"/>
  <c r="I54" i="1" s="1"/>
  <c r="F55" i="1"/>
  <c r="H55" i="1" s="1"/>
  <c r="I55" i="1" s="1"/>
  <c r="F56" i="1"/>
  <c r="F57" i="1"/>
  <c r="H57" i="1" s="1"/>
  <c r="I57" i="1" s="1"/>
  <c r="F58" i="1"/>
  <c r="H58" i="1" s="1"/>
  <c r="I58" i="1" s="1"/>
  <c r="F59" i="1"/>
  <c r="H59" i="1" s="1"/>
  <c r="I59" i="1" s="1"/>
  <c r="F60" i="1"/>
  <c r="H60" i="1" s="1"/>
  <c r="I60" i="1" s="1"/>
  <c r="F61" i="1"/>
  <c r="H61" i="1" s="1"/>
  <c r="I61" i="1" s="1"/>
  <c r="F62" i="1"/>
  <c r="H62" i="1" s="1"/>
  <c r="I62" i="1" s="1"/>
  <c r="F2" i="1"/>
  <c r="H2" i="1" s="1"/>
  <c r="I2" i="1" s="1"/>
</calcChain>
</file>

<file path=xl/sharedStrings.xml><?xml version="1.0" encoding="utf-8"?>
<sst xmlns="http://schemas.openxmlformats.org/spreadsheetml/2006/main" count="184" uniqueCount="46">
  <si>
    <t>From</t>
  </si>
  <si>
    <t>To</t>
  </si>
  <si>
    <t>Nyagatare</t>
  </si>
  <si>
    <t>Kirehe</t>
  </si>
  <si>
    <t>Rwamagana</t>
  </si>
  <si>
    <t>ID</t>
  </si>
  <si>
    <t>Kayonza 1</t>
  </si>
  <si>
    <t>Kayonza 2</t>
  </si>
  <si>
    <t>Bugesera</t>
  </si>
  <si>
    <t>Gasabo</t>
  </si>
  <si>
    <t>Kicukiro</t>
  </si>
  <si>
    <t>Nyarugenge</t>
  </si>
  <si>
    <t>Kayonza</t>
  </si>
  <si>
    <t>Ngoma</t>
  </si>
  <si>
    <t>Gatsibo</t>
  </si>
  <si>
    <t>UIJ (upper bound)</t>
  </si>
  <si>
    <t>XiJ (Actual flow)</t>
  </si>
  <si>
    <t>Rwamagana-Musha</t>
  </si>
  <si>
    <t>Nyagatare Maize Processing Company</t>
  </si>
  <si>
    <t xml:space="preserve">Kayonza </t>
  </si>
  <si>
    <t>Nyabugogo modern market, 325W+FR4, Kigali, Rwanda</t>
  </si>
  <si>
    <t>Musha Sector Office, 389J+9WX, Gikoro, Rwanda</t>
  </si>
  <si>
    <t>Rwinkwavu Stadium, 2JM2+4RM, Kabarondo, Rwanda</t>
  </si>
  <si>
    <t>Mayange (Bugesera) Health Centre, Q4VV+9P9, Nyamata, Rwanda</t>
  </si>
  <si>
    <t>Reference Location (google maps)</t>
  </si>
  <si>
    <t>Kicukiro Market, KK 15 Rd, Kigali, Rwanda</t>
  </si>
  <si>
    <t>Kirehe Market, 2 b, Rwanda</t>
  </si>
  <si>
    <t>Nyagasambu Market, 475H+3JC, Nyagasambu, Rwanda</t>
  </si>
  <si>
    <t>Gasarabwayi Business Center, 3G38+FXP, Kayonza, Rwanda</t>
  </si>
  <si>
    <t>Akagera Village Market, XHX7+3H2, Akagera Road, Kabarondo, Rwanda</t>
  </si>
  <si>
    <t>Nyamata Market, Nyamata, Rwanda</t>
  </si>
  <si>
    <t>Kibungo Market, RGRW+V83, Rwanda</t>
  </si>
  <si>
    <t>Kabarore Market, Kabarore, Gatsibo, Rwanda</t>
  </si>
  <si>
    <t>Kigali City Market, KN 2 St, Kigali, Rwanda</t>
  </si>
  <si>
    <t>LiJ- Lower bound 
per trip (Tons)</t>
  </si>
  <si>
    <t>Distance 
(km)</t>
  </si>
  <si>
    <t>Unit Cost
(Rwfs/km/T)</t>
  </si>
  <si>
    <t>Total Cost 
(Rwfs/ T)</t>
  </si>
  <si>
    <t>LiJ- Lower bound (Tons/ year)</t>
  </si>
  <si>
    <t>Truck capacity 
(Tons/year)</t>
  </si>
  <si>
    <t>Supply capacity
(Tons/Year)</t>
  </si>
  <si>
    <t>Demand
(Tons/year)</t>
  </si>
  <si>
    <t>Bugesera-Mayange</t>
  </si>
  <si>
    <t>Supply districts and their quantities in Tons</t>
  </si>
  <si>
    <t>Demand districts and their quantities in Tons</t>
  </si>
  <si>
    <t>EAX Warehouses and their annual capacity in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</si>
</sst>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"/>
    <numFmt numFmtId="166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166" fontId="0" fillId="0" borderId="0" xfId="1" applyNumberFormat="1" applyFont="1"/>
    <xf numFmtId="166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A24B-9C72-4C70-BADF-A7D313924FCB}">
  <dimension ref="A1:N62"/>
  <sheetViews>
    <sheetView tabSelected="1" workbookViewId="0">
      <pane xSplit="3" ySplit="1" topLeftCell="G48" activePane="bottomRight" state="frozen"/>
      <selection activeCell="C11" sqref="C11"/>
      <selection pane="topRight" activeCell="C11" sqref="C11"/>
      <selection pane="bottomLeft" activeCell="C11" sqref="C11"/>
      <selection pane="bottomRight" activeCell="J1" sqref="J1"/>
    </sheetView>
  </sheetViews>
  <sheetFormatPr defaultRowHeight="14.5" x14ac:dyDescent="0.35"/>
  <cols>
    <col min="1" max="1" width="4.08984375" customWidth="1"/>
    <col min="2" max="2" width="14.1796875" customWidth="1"/>
    <col min="3" max="3" width="18.81640625" customWidth="1"/>
    <col min="4" max="4" width="10.08984375" customWidth="1"/>
    <col min="5" max="5" width="13.90625" customWidth="1"/>
    <col min="6" max="6" width="11.1796875" customWidth="1"/>
    <col min="7" max="7" width="13.54296875" customWidth="1"/>
    <col min="8" max="8" width="18.08984375" customWidth="1"/>
    <col min="9" max="9" width="16.81640625" customWidth="1"/>
    <col min="10" max="10" width="4.453125" style="7" customWidth="1"/>
    <col min="11" max="11" width="15.1796875" customWidth="1"/>
    <col min="12" max="12" width="12.6328125" customWidth="1"/>
    <col min="13" max="13" width="17.36328125" customWidth="1"/>
    <col min="14" max="14" width="17.54296875" customWidth="1"/>
    <col min="15" max="15" width="16.54296875" customWidth="1"/>
  </cols>
  <sheetData>
    <row r="1" spans="1:14" s="2" customFormat="1" ht="29" x14ac:dyDescent="0.35">
      <c r="A1" s="2" t="s">
        <v>5</v>
      </c>
      <c r="B1" s="2" t="s">
        <v>0</v>
      </c>
      <c r="C1" s="2" t="s">
        <v>1</v>
      </c>
      <c r="D1" s="3" t="s">
        <v>35</v>
      </c>
      <c r="E1" s="10" t="s">
        <v>36</v>
      </c>
      <c r="F1" s="3" t="s">
        <v>37</v>
      </c>
      <c r="G1" s="10" t="s">
        <v>39</v>
      </c>
      <c r="H1" s="3" t="s">
        <v>34</v>
      </c>
      <c r="I1" s="3" t="s">
        <v>38</v>
      </c>
      <c r="J1" s="6"/>
      <c r="K1" s="10" t="s">
        <v>40</v>
      </c>
      <c r="L1" s="10" t="s">
        <v>41</v>
      </c>
      <c r="M1" s="2" t="s">
        <v>15</v>
      </c>
      <c r="N1" s="2" t="s">
        <v>16</v>
      </c>
    </row>
    <row r="2" spans="1:14" x14ac:dyDescent="0.35">
      <c r="A2">
        <v>1</v>
      </c>
      <c r="B2" t="s">
        <v>2</v>
      </c>
      <c r="C2" t="s">
        <v>6</v>
      </c>
      <c r="D2">
        <v>86.8</v>
      </c>
      <c r="E2">
        <v>200</v>
      </c>
      <c r="F2">
        <f>E2*D2</f>
        <v>17360</v>
      </c>
      <c r="G2">
        <f>20*4*52</f>
        <v>4160</v>
      </c>
      <c r="H2" s="4">
        <f>10000/F2</f>
        <v>0.57603686635944695</v>
      </c>
      <c r="I2" s="5">
        <f>H2*2*52</f>
        <v>59.907834101382484</v>
      </c>
      <c r="K2" s="8">
        <v>112485</v>
      </c>
      <c r="L2" s="8">
        <v>4500</v>
      </c>
      <c r="M2" s="9">
        <f>MIN(G2, K2, L2)</f>
        <v>4160</v>
      </c>
    </row>
    <row r="3" spans="1:14" x14ac:dyDescent="0.35">
      <c r="A3">
        <v>2</v>
      </c>
      <c r="B3" t="s">
        <v>2</v>
      </c>
      <c r="C3" t="s">
        <v>7</v>
      </c>
      <c r="D3">
        <v>106</v>
      </c>
      <c r="E3">
        <v>200</v>
      </c>
      <c r="F3">
        <f t="shared" ref="F3:F62" si="0">E3*D3</f>
        <v>21200</v>
      </c>
      <c r="G3">
        <f t="shared" ref="G3:G62" si="1">20*4*52</f>
        <v>4160</v>
      </c>
      <c r="H3" s="4">
        <f t="shared" ref="H3:H62" si="2">10000/F3</f>
        <v>0.47169811320754718</v>
      </c>
      <c r="I3" s="5">
        <f t="shared" ref="I3:I62" si="3">H3*2*52</f>
        <v>49.056603773584904</v>
      </c>
      <c r="K3" s="8">
        <v>112485</v>
      </c>
      <c r="L3" s="8">
        <v>4500</v>
      </c>
      <c r="M3" s="9">
        <f>MIN(G3, K3, L3)</f>
        <v>4160</v>
      </c>
    </row>
    <row r="4" spans="1:14" x14ac:dyDescent="0.35">
      <c r="A4">
        <v>3</v>
      </c>
      <c r="B4" t="s">
        <v>2</v>
      </c>
      <c r="C4" t="s">
        <v>17</v>
      </c>
      <c r="D4">
        <v>110</v>
      </c>
      <c r="E4">
        <v>200</v>
      </c>
      <c r="F4">
        <f t="shared" si="0"/>
        <v>22000</v>
      </c>
      <c r="G4">
        <f t="shared" si="1"/>
        <v>4160</v>
      </c>
      <c r="H4" s="4">
        <f t="shared" si="2"/>
        <v>0.45454545454545453</v>
      </c>
      <c r="I4" s="5">
        <f t="shared" si="3"/>
        <v>47.272727272727273</v>
      </c>
      <c r="K4" s="8">
        <v>112485</v>
      </c>
      <c r="L4" s="8">
        <v>1500</v>
      </c>
      <c r="M4" s="9">
        <f>MIN(G4, K4, L4)</f>
        <v>1500</v>
      </c>
    </row>
    <row r="5" spans="1:14" x14ac:dyDescent="0.35">
      <c r="A5">
        <v>4</v>
      </c>
      <c r="B5" t="s">
        <v>2</v>
      </c>
      <c r="C5" t="s">
        <v>42</v>
      </c>
      <c r="D5">
        <v>173</v>
      </c>
      <c r="E5">
        <v>200</v>
      </c>
      <c r="F5">
        <f t="shared" si="0"/>
        <v>34600</v>
      </c>
      <c r="G5">
        <f t="shared" si="1"/>
        <v>4160</v>
      </c>
      <c r="H5" s="4">
        <f t="shared" si="2"/>
        <v>0.28901734104046245</v>
      </c>
      <c r="I5" s="5">
        <f t="shared" si="3"/>
        <v>30.057803468208096</v>
      </c>
      <c r="K5" s="8">
        <v>112485</v>
      </c>
      <c r="L5" s="8">
        <v>12000</v>
      </c>
      <c r="M5" s="9">
        <f>MIN(G5, K5, L5)</f>
        <v>4160</v>
      </c>
    </row>
    <row r="6" spans="1:14" x14ac:dyDescent="0.35">
      <c r="A6">
        <v>5</v>
      </c>
      <c r="B6" t="s">
        <v>2</v>
      </c>
      <c r="C6" t="s">
        <v>9</v>
      </c>
      <c r="D6">
        <v>132</v>
      </c>
      <c r="E6">
        <v>200</v>
      </c>
      <c r="F6">
        <f t="shared" si="0"/>
        <v>26400</v>
      </c>
      <c r="G6">
        <f t="shared" si="1"/>
        <v>4160</v>
      </c>
      <c r="H6" s="4">
        <f t="shared" si="2"/>
        <v>0.37878787878787878</v>
      </c>
      <c r="I6" s="5">
        <f t="shared" si="3"/>
        <v>39.393939393939391</v>
      </c>
      <c r="K6" s="8">
        <v>112485</v>
      </c>
      <c r="L6" s="8">
        <v>23525</v>
      </c>
      <c r="M6" s="9">
        <f>MIN(G6, K6, L6)</f>
        <v>4160</v>
      </c>
    </row>
    <row r="7" spans="1:14" x14ac:dyDescent="0.35">
      <c r="A7">
        <v>6</v>
      </c>
      <c r="B7" t="s">
        <v>2</v>
      </c>
      <c r="C7" t="s">
        <v>10</v>
      </c>
      <c r="D7">
        <v>137</v>
      </c>
      <c r="E7">
        <v>200</v>
      </c>
      <c r="F7">
        <f t="shared" si="0"/>
        <v>27400</v>
      </c>
      <c r="G7">
        <f t="shared" si="1"/>
        <v>4160</v>
      </c>
      <c r="H7" s="4">
        <f t="shared" si="2"/>
        <v>0.36496350364963503</v>
      </c>
      <c r="I7" s="5">
        <f t="shared" si="3"/>
        <v>37.956204379562045</v>
      </c>
      <c r="K7" s="8">
        <v>112485</v>
      </c>
      <c r="L7" s="8">
        <v>14983</v>
      </c>
      <c r="M7" s="9">
        <f>MIN(G7, K7, L7)</f>
        <v>4160</v>
      </c>
    </row>
    <row r="8" spans="1:14" x14ac:dyDescent="0.35">
      <c r="A8">
        <v>7</v>
      </c>
      <c r="B8" t="s">
        <v>2</v>
      </c>
      <c r="C8" t="s">
        <v>11</v>
      </c>
      <c r="D8">
        <v>134</v>
      </c>
      <c r="E8">
        <v>200</v>
      </c>
      <c r="F8">
        <f t="shared" si="0"/>
        <v>26800</v>
      </c>
      <c r="G8">
        <f t="shared" si="1"/>
        <v>4160</v>
      </c>
      <c r="H8" s="4">
        <f t="shared" si="2"/>
        <v>0.37313432835820898</v>
      </c>
      <c r="I8" s="5">
        <f t="shared" si="3"/>
        <v>38.805970149253731</v>
      </c>
      <c r="K8" s="8">
        <v>112485</v>
      </c>
      <c r="L8" s="8">
        <v>11837</v>
      </c>
      <c r="M8" s="9">
        <f>MIN(G8, K8, L8)</f>
        <v>4160</v>
      </c>
    </row>
    <row r="9" spans="1:14" x14ac:dyDescent="0.35">
      <c r="A9">
        <v>8</v>
      </c>
      <c r="B9" t="s">
        <v>3</v>
      </c>
      <c r="C9" t="s">
        <v>6</v>
      </c>
      <c r="D9">
        <v>61.4</v>
      </c>
      <c r="E9">
        <v>200</v>
      </c>
      <c r="F9">
        <f t="shared" si="0"/>
        <v>12280</v>
      </c>
      <c r="G9">
        <f t="shared" si="1"/>
        <v>4160</v>
      </c>
      <c r="H9" s="4">
        <f t="shared" si="2"/>
        <v>0.81433224755700329</v>
      </c>
      <c r="I9" s="5">
        <f t="shared" si="3"/>
        <v>84.690553745928341</v>
      </c>
      <c r="K9" s="8">
        <v>48783</v>
      </c>
      <c r="L9" s="8">
        <v>4500</v>
      </c>
      <c r="M9" s="9">
        <f>MIN(G9, K9, L9)</f>
        <v>4160</v>
      </c>
    </row>
    <row r="10" spans="1:14" x14ac:dyDescent="0.35">
      <c r="A10">
        <v>9</v>
      </c>
      <c r="B10" t="s">
        <v>3</v>
      </c>
      <c r="C10" t="s">
        <v>7</v>
      </c>
      <c r="D10">
        <v>62.4</v>
      </c>
      <c r="E10">
        <v>200</v>
      </c>
      <c r="F10">
        <f t="shared" si="0"/>
        <v>12480</v>
      </c>
      <c r="G10">
        <f t="shared" si="1"/>
        <v>4160</v>
      </c>
      <c r="H10" s="4">
        <f t="shared" si="2"/>
        <v>0.80128205128205132</v>
      </c>
      <c r="I10" s="5">
        <f t="shared" si="3"/>
        <v>83.333333333333343</v>
      </c>
      <c r="K10" s="8">
        <v>48783</v>
      </c>
      <c r="L10" s="8">
        <v>4500</v>
      </c>
      <c r="M10" s="9">
        <f>MIN(G10, K10, L10)</f>
        <v>4160</v>
      </c>
    </row>
    <row r="11" spans="1:14" x14ac:dyDescent="0.35">
      <c r="A11">
        <v>10</v>
      </c>
      <c r="B11" t="s">
        <v>3</v>
      </c>
      <c r="C11" t="s">
        <v>17</v>
      </c>
      <c r="D11">
        <v>98.8</v>
      </c>
      <c r="E11">
        <v>200</v>
      </c>
      <c r="F11">
        <f t="shared" si="0"/>
        <v>19760</v>
      </c>
      <c r="G11">
        <f t="shared" si="1"/>
        <v>4160</v>
      </c>
      <c r="H11" s="4">
        <f t="shared" si="2"/>
        <v>0.50607287449392713</v>
      </c>
      <c r="I11" s="5">
        <f t="shared" si="3"/>
        <v>52.631578947368425</v>
      </c>
      <c r="K11" s="8">
        <v>48783</v>
      </c>
      <c r="L11" s="8">
        <v>1500</v>
      </c>
      <c r="M11" s="9">
        <f>MIN(G11, K11, L11)</f>
        <v>1500</v>
      </c>
    </row>
    <row r="12" spans="1:14" x14ac:dyDescent="0.35">
      <c r="A12">
        <v>11</v>
      </c>
      <c r="B12" t="s">
        <v>3</v>
      </c>
      <c r="C12" t="s">
        <v>42</v>
      </c>
      <c r="D12">
        <v>104</v>
      </c>
      <c r="E12">
        <v>200</v>
      </c>
      <c r="F12">
        <f t="shared" si="0"/>
        <v>20800</v>
      </c>
      <c r="G12">
        <f t="shared" si="1"/>
        <v>4160</v>
      </c>
      <c r="H12" s="4">
        <f t="shared" si="2"/>
        <v>0.48076923076923078</v>
      </c>
      <c r="I12" s="5">
        <f t="shared" si="3"/>
        <v>50</v>
      </c>
      <c r="K12" s="8">
        <v>48783</v>
      </c>
      <c r="L12" s="8">
        <v>12000</v>
      </c>
      <c r="M12" s="9">
        <f>MIN(G12, K12, L12)</f>
        <v>4160</v>
      </c>
    </row>
    <row r="13" spans="1:14" x14ac:dyDescent="0.35">
      <c r="A13">
        <v>12</v>
      </c>
      <c r="B13" t="s">
        <v>3</v>
      </c>
      <c r="C13" t="s">
        <v>9</v>
      </c>
      <c r="D13">
        <v>145</v>
      </c>
      <c r="E13">
        <v>200</v>
      </c>
      <c r="F13">
        <f t="shared" si="0"/>
        <v>29000</v>
      </c>
      <c r="G13">
        <f t="shared" si="1"/>
        <v>4160</v>
      </c>
      <c r="H13" s="4">
        <f t="shared" si="2"/>
        <v>0.34482758620689657</v>
      </c>
      <c r="I13" s="5">
        <f t="shared" si="3"/>
        <v>35.862068965517246</v>
      </c>
      <c r="K13" s="8">
        <v>48783</v>
      </c>
      <c r="L13" s="8">
        <v>23525</v>
      </c>
      <c r="M13" s="9">
        <f>MIN(G13, K13, L13)</f>
        <v>4160</v>
      </c>
    </row>
    <row r="14" spans="1:14" x14ac:dyDescent="0.35">
      <c r="A14">
        <v>13</v>
      </c>
      <c r="B14" t="s">
        <v>3</v>
      </c>
      <c r="C14" t="s">
        <v>10</v>
      </c>
      <c r="D14">
        <v>138</v>
      </c>
      <c r="E14">
        <v>200</v>
      </c>
      <c r="F14">
        <f t="shared" si="0"/>
        <v>27600</v>
      </c>
      <c r="G14">
        <f t="shared" si="1"/>
        <v>4160</v>
      </c>
      <c r="H14" s="4">
        <f t="shared" si="2"/>
        <v>0.36231884057971014</v>
      </c>
      <c r="I14" s="5">
        <f t="shared" si="3"/>
        <v>37.681159420289852</v>
      </c>
      <c r="K14" s="8">
        <v>48783</v>
      </c>
      <c r="L14" s="8">
        <v>14983</v>
      </c>
      <c r="M14" s="9">
        <f>MIN(G14, K14, L14)</f>
        <v>4160</v>
      </c>
    </row>
    <row r="15" spans="1:14" x14ac:dyDescent="0.35">
      <c r="A15">
        <v>14</v>
      </c>
      <c r="B15" t="s">
        <v>3</v>
      </c>
      <c r="C15" t="s">
        <v>11</v>
      </c>
      <c r="D15">
        <v>145</v>
      </c>
      <c r="E15">
        <v>200</v>
      </c>
      <c r="F15">
        <f t="shared" si="0"/>
        <v>29000</v>
      </c>
      <c r="G15">
        <f t="shared" si="1"/>
        <v>4160</v>
      </c>
      <c r="H15" s="4">
        <f t="shared" si="2"/>
        <v>0.34482758620689657</v>
      </c>
      <c r="I15" s="5">
        <f t="shared" si="3"/>
        <v>35.862068965517246</v>
      </c>
      <c r="K15" s="8">
        <v>48783</v>
      </c>
      <c r="L15" s="8">
        <v>11837</v>
      </c>
      <c r="M15" s="9">
        <f>MIN(G15, K15, L15)</f>
        <v>4160</v>
      </c>
    </row>
    <row r="16" spans="1:14" x14ac:dyDescent="0.35">
      <c r="A16">
        <v>15</v>
      </c>
      <c r="B16" t="s">
        <v>4</v>
      </c>
      <c r="C16" t="s">
        <v>6</v>
      </c>
      <c r="D16">
        <v>43.7</v>
      </c>
      <c r="E16">
        <v>200</v>
      </c>
      <c r="F16">
        <f t="shared" si="0"/>
        <v>8740</v>
      </c>
      <c r="G16">
        <f t="shared" si="1"/>
        <v>4160</v>
      </c>
      <c r="H16" s="4">
        <f t="shared" si="2"/>
        <v>1.1441647597254005</v>
      </c>
      <c r="I16" s="5">
        <f t="shared" si="3"/>
        <v>118.99313501144165</v>
      </c>
      <c r="K16" s="8">
        <v>5021</v>
      </c>
      <c r="L16" s="8">
        <v>4500</v>
      </c>
      <c r="M16" s="9">
        <f>MIN(G16, K16, L16)</f>
        <v>4160</v>
      </c>
    </row>
    <row r="17" spans="1:13" x14ac:dyDescent="0.35">
      <c r="A17">
        <v>16</v>
      </c>
      <c r="B17" t="s">
        <v>4</v>
      </c>
      <c r="C17" t="s">
        <v>7</v>
      </c>
      <c r="D17">
        <v>63.1</v>
      </c>
      <c r="E17">
        <v>200</v>
      </c>
      <c r="F17">
        <f t="shared" si="0"/>
        <v>12620</v>
      </c>
      <c r="G17">
        <f t="shared" si="1"/>
        <v>4160</v>
      </c>
      <c r="H17" s="4">
        <f t="shared" si="2"/>
        <v>0.79239302694136293</v>
      </c>
      <c r="I17" s="5">
        <f t="shared" si="3"/>
        <v>82.408874801901746</v>
      </c>
      <c r="K17" s="8">
        <v>5021</v>
      </c>
      <c r="L17" s="8">
        <v>4500</v>
      </c>
      <c r="M17" s="9">
        <f>MIN(G17, K17, L17)</f>
        <v>4160</v>
      </c>
    </row>
    <row r="18" spans="1:13" x14ac:dyDescent="0.35">
      <c r="A18">
        <v>17</v>
      </c>
      <c r="B18" t="s">
        <v>4</v>
      </c>
      <c r="C18" t="s">
        <v>17</v>
      </c>
      <c r="D18">
        <v>14.1</v>
      </c>
      <c r="E18">
        <v>200</v>
      </c>
      <c r="F18">
        <f t="shared" si="0"/>
        <v>2820</v>
      </c>
      <c r="G18">
        <f t="shared" si="1"/>
        <v>4160</v>
      </c>
      <c r="H18" s="4">
        <f t="shared" si="2"/>
        <v>3.5460992907801416</v>
      </c>
      <c r="I18" s="5">
        <f t="shared" si="3"/>
        <v>368.79432624113474</v>
      </c>
      <c r="K18" s="8">
        <v>5021</v>
      </c>
      <c r="L18" s="8">
        <v>1500</v>
      </c>
      <c r="M18" s="9">
        <f>MIN(G18, K18, L18)</f>
        <v>1500</v>
      </c>
    </row>
    <row r="19" spans="1:13" x14ac:dyDescent="0.35">
      <c r="A19">
        <v>18</v>
      </c>
      <c r="B19" t="s">
        <v>4</v>
      </c>
      <c r="C19" t="s">
        <v>42</v>
      </c>
      <c r="D19">
        <v>66.7</v>
      </c>
      <c r="E19">
        <v>200</v>
      </c>
      <c r="F19">
        <f t="shared" si="0"/>
        <v>13340</v>
      </c>
      <c r="G19">
        <f t="shared" si="1"/>
        <v>4160</v>
      </c>
      <c r="H19" s="4">
        <f t="shared" si="2"/>
        <v>0.7496251874062968</v>
      </c>
      <c r="I19" s="5">
        <f t="shared" si="3"/>
        <v>77.96101949025487</v>
      </c>
      <c r="K19" s="8">
        <v>5021</v>
      </c>
      <c r="L19" s="8">
        <v>12000</v>
      </c>
      <c r="M19" s="9">
        <f>MIN(G19, K19, L19)</f>
        <v>4160</v>
      </c>
    </row>
    <row r="20" spans="1:13" x14ac:dyDescent="0.35">
      <c r="A20">
        <v>19</v>
      </c>
      <c r="B20" t="s">
        <v>4</v>
      </c>
      <c r="C20" t="s">
        <v>9</v>
      </c>
      <c r="D20">
        <v>38.299999999999997</v>
      </c>
      <c r="E20">
        <v>200</v>
      </c>
      <c r="F20">
        <f t="shared" si="0"/>
        <v>7659.9999999999991</v>
      </c>
      <c r="G20">
        <f t="shared" si="1"/>
        <v>4160</v>
      </c>
      <c r="H20" s="4">
        <f t="shared" si="2"/>
        <v>1.3054830287206267</v>
      </c>
      <c r="I20" s="5">
        <f t="shared" si="3"/>
        <v>135.77023498694518</v>
      </c>
      <c r="K20" s="8">
        <v>5021</v>
      </c>
      <c r="L20" s="8">
        <v>23525</v>
      </c>
      <c r="M20" s="9">
        <f>MIN(G20, K20, L20)</f>
        <v>4160</v>
      </c>
    </row>
    <row r="21" spans="1:13" x14ac:dyDescent="0.35">
      <c r="A21">
        <v>20</v>
      </c>
      <c r="B21" t="s">
        <v>4</v>
      </c>
      <c r="C21" t="s">
        <v>10</v>
      </c>
      <c r="D21">
        <v>31.5</v>
      </c>
      <c r="E21">
        <v>200</v>
      </c>
      <c r="F21">
        <f t="shared" si="0"/>
        <v>6300</v>
      </c>
      <c r="G21">
        <f t="shared" si="1"/>
        <v>4160</v>
      </c>
      <c r="H21" s="4">
        <f t="shared" si="2"/>
        <v>1.5873015873015872</v>
      </c>
      <c r="I21" s="5">
        <f t="shared" si="3"/>
        <v>165.07936507936506</v>
      </c>
      <c r="K21" s="8">
        <v>5021</v>
      </c>
      <c r="L21" s="8">
        <v>14983</v>
      </c>
      <c r="M21" s="9">
        <f>MIN(G21, K21, L21)</f>
        <v>4160</v>
      </c>
    </row>
    <row r="22" spans="1:13" x14ac:dyDescent="0.35">
      <c r="A22">
        <v>21</v>
      </c>
      <c r="B22" t="s">
        <v>4</v>
      </c>
      <c r="C22" t="s">
        <v>11</v>
      </c>
      <c r="D22">
        <v>38</v>
      </c>
      <c r="E22">
        <v>200</v>
      </c>
      <c r="F22">
        <f t="shared" si="0"/>
        <v>7600</v>
      </c>
      <c r="G22">
        <f t="shared" si="1"/>
        <v>4160</v>
      </c>
      <c r="H22" s="4">
        <f t="shared" si="2"/>
        <v>1.3157894736842106</v>
      </c>
      <c r="I22" s="5">
        <f t="shared" si="3"/>
        <v>136.84210526315792</v>
      </c>
      <c r="K22" s="8">
        <v>5021</v>
      </c>
      <c r="L22" s="8">
        <v>11837</v>
      </c>
      <c r="M22" s="9">
        <f>MIN(G22, K22, L22)</f>
        <v>4160</v>
      </c>
    </row>
    <row r="23" spans="1:13" x14ac:dyDescent="0.35">
      <c r="A23">
        <v>22</v>
      </c>
      <c r="B23" t="s">
        <v>12</v>
      </c>
      <c r="C23" t="s">
        <v>6</v>
      </c>
      <c r="D23">
        <v>11.7</v>
      </c>
      <c r="E23">
        <v>200</v>
      </c>
      <c r="F23">
        <f t="shared" si="0"/>
        <v>2340</v>
      </c>
      <c r="G23">
        <f t="shared" si="1"/>
        <v>4160</v>
      </c>
      <c r="H23" s="4">
        <f t="shared" si="2"/>
        <v>4.2735042735042734</v>
      </c>
      <c r="I23" s="5">
        <f t="shared" si="3"/>
        <v>444.44444444444446</v>
      </c>
      <c r="K23" s="8">
        <v>25982</v>
      </c>
      <c r="L23" s="8">
        <v>4500</v>
      </c>
      <c r="M23" s="9">
        <f>MIN(G23, K23, L23)</f>
        <v>4160</v>
      </c>
    </row>
    <row r="24" spans="1:13" x14ac:dyDescent="0.35">
      <c r="A24">
        <v>23</v>
      </c>
      <c r="B24" t="s">
        <v>12</v>
      </c>
      <c r="C24" t="s">
        <v>7</v>
      </c>
      <c r="D24">
        <v>7.7</v>
      </c>
      <c r="E24">
        <v>200</v>
      </c>
      <c r="F24">
        <f t="shared" si="0"/>
        <v>1540</v>
      </c>
      <c r="G24">
        <f t="shared" si="1"/>
        <v>4160</v>
      </c>
      <c r="H24" s="4">
        <f t="shared" si="2"/>
        <v>6.4935064935064934</v>
      </c>
      <c r="I24" s="5">
        <f t="shared" si="3"/>
        <v>675.32467532467535</v>
      </c>
      <c r="K24" s="8">
        <v>25982</v>
      </c>
      <c r="L24" s="8">
        <v>4500</v>
      </c>
      <c r="M24" s="9">
        <f>MIN(G24, K24, L24)</f>
        <v>4160</v>
      </c>
    </row>
    <row r="25" spans="1:13" x14ac:dyDescent="0.35">
      <c r="A25">
        <v>24</v>
      </c>
      <c r="B25" t="s">
        <v>12</v>
      </c>
      <c r="C25" t="s">
        <v>17</v>
      </c>
      <c r="D25">
        <v>49.1</v>
      </c>
      <c r="E25">
        <v>200</v>
      </c>
      <c r="F25">
        <f t="shared" si="0"/>
        <v>9820</v>
      </c>
      <c r="G25">
        <f t="shared" si="1"/>
        <v>4160</v>
      </c>
      <c r="H25" s="4">
        <f t="shared" si="2"/>
        <v>1.0183299389002036</v>
      </c>
      <c r="I25" s="5">
        <f t="shared" si="3"/>
        <v>105.90631364562118</v>
      </c>
      <c r="K25" s="8">
        <v>25982</v>
      </c>
      <c r="L25" s="8">
        <v>1500</v>
      </c>
      <c r="M25" s="9">
        <f>MIN(G25, K25, L25)</f>
        <v>1500</v>
      </c>
    </row>
    <row r="26" spans="1:13" x14ac:dyDescent="0.35">
      <c r="A26">
        <v>25</v>
      </c>
      <c r="B26" t="s">
        <v>12</v>
      </c>
      <c r="C26" t="s">
        <v>42</v>
      </c>
      <c r="D26">
        <v>85.4</v>
      </c>
      <c r="E26">
        <v>200</v>
      </c>
      <c r="F26">
        <f t="shared" si="0"/>
        <v>17080</v>
      </c>
      <c r="G26">
        <f t="shared" si="1"/>
        <v>4160</v>
      </c>
      <c r="H26" s="4">
        <f t="shared" si="2"/>
        <v>0.58548009367681497</v>
      </c>
      <c r="I26" s="5">
        <f t="shared" si="3"/>
        <v>60.889929742388759</v>
      </c>
      <c r="K26" s="8">
        <v>25982</v>
      </c>
      <c r="L26" s="8">
        <v>12000</v>
      </c>
      <c r="M26" s="9">
        <f>MIN(G26, K26, L26)</f>
        <v>4160</v>
      </c>
    </row>
    <row r="27" spans="1:13" x14ac:dyDescent="0.35">
      <c r="A27">
        <v>26</v>
      </c>
      <c r="B27" t="s">
        <v>12</v>
      </c>
      <c r="C27" t="s">
        <v>9</v>
      </c>
      <c r="D27">
        <v>95.5</v>
      </c>
      <c r="E27">
        <v>200</v>
      </c>
      <c r="F27">
        <f t="shared" si="0"/>
        <v>19100</v>
      </c>
      <c r="G27">
        <f t="shared" si="1"/>
        <v>4160</v>
      </c>
      <c r="H27" s="4">
        <f t="shared" si="2"/>
        <v>0.52356020942408377</v>
      </c>
      <c r="I27" s="5">
        <f t="shared" si="3"/>
        <v>54.450261780104711</v>
      </c>
      <c r="K27" s="8">
        <v>25982</v>
      </c>
      <c r="L27" s="8">
        <v>23525</v>
      </c>
      <c r="M27" s="9">
        <f>MIN(G27, K27, L27)</f>
        <v>4160</v>
      </c>
    </row>
    <row r="28" spans="1:13" x14ac:dyDescent="0.35">
      <c r="A28">
        <v>27</v>
      </c>
      <c r="B28" t="s">
        <v>12</v>
      </c>
      <c r="C28" t="s">
        <v>10</v>
      </c>
      <c r="D28">
        <v>88.8</v>
      </c>
      <c r="E28">
        <v>200</v>
      </c>
      <c r="F28">
        <f t="shared" si="0"/>
        <v>17760</v>
      </c>
      <c r="G28">
        <f t="shared" si="1"/>
        <v>4160</v>
      </c>
      <c r="H28" s="4">
        <f t="shared" si="2"/>
        <v>0.56306306306306309</v>
      </c>
      <c r="I28" s="5">
        <f t="shared" si="3"/>
        <v>58.558558558558559</v>
      </c>
      <c r="K28" s="8">
        <v>25982</v>
      </c>
      <c r="L28" s="8">
        <v>14983</v>
      </c>
      <c r="M28" s="9">
        <f>MIN(G28, K28, L28)</f>
        <v>4160</v>
      </c>
    </row>
    <row r="29" spans="1:13" x14ac:dyDescent="0.35">
      <c r="A29">
        <v>28</v>
      </c>
      <c r="B29" t="s">
        <v>12</v>
      </c>
      <c r="C29" t="s">
        <v>11</v>
      </c>
      <c r="D29">
        <v>95.2</v>
      </c>
      <c r="E29">
        <v>200</v>
      </c>
      <c r="F29">
        <f t="shared" si="0"/>
        <v>19040</v>
      </c>
      <c r="G29">
        <f t="shared" si="1"/>
        <v>4160</v>
      </c>
      <c r="H29" s="4">
        <f t="shared" si="2"/>
        <v>0.52521008403361347</v>
      </c>
      <c r="I29" s="5">
        <f t="shared" si="3"/>
        <v>54.621848739495803</v>
      </c>
      <c r="K29" s="8">
        <v>25982</v>
      </c>
      <c r="L29" s="8">
        <v>11837</v>
      </c>
      <c r="M29" s="9">
        <f>MIN(G29, K29, L29)</f>
        <v>4160</v>
      </c>
    </row>
    <row r="30" spans="1:13" x14ac:dyDescent="0.35">
      <c r="A30">
        <v>29</v>
      </c>
      <c r="B30" t="s">
        <v>8</v>
      </c>
      <c r="C30" t="s">
        <v>6</v>
      </c>
      <c r="D30">
        <v>98.9</v>
      </c>
      <c r="E30">
        <v>200</v>
      </c>
      <c r="F30">
        <f t="shared" si="0"/>
        <v>19780</v>
      </c>
      <c r="G30">
        <f t="shared" si="1"/>
        <v>4160</v>
      </c>
      <c r="H30" s="4">
        <f t="shared" si="2"/>
        <v>0.50556117290192115</v>
      </c>
      <c r="I30" s="5">
        <f t="shared" si="3"/>
        <v>52.578361981799802</v>
      </c>
      <c r="K30" s="8">
        <v>1597</v>
      </c>
      <c r="L30" s="8">
        <v>4500</v>
      </c>
      <c r="M30" s="9">
        <f>MIN(G30, K30, L30)</f>
        <v>1597</v>
      </c>
    </row>
    <row r="31" spans="1:13" x14ac:dyDescent="0.35">
      <c r="A31">
        <v>30</v>
      </c>
      <c r="B31" t="s">
        <v>8</v>
      </c>
      <c r="C31" t="s">
        <v>7</v>
      </c>
      <c r="D31">
        <v>103</v>
      </c>
      <c r="E31">
        <v>200</v>
      </c>
      <c r="F31">
        <f t="shared" si="0"/>
        <v>20600</v>
      </c>
      <c r="G31">
        <f t="shared" si="1"/>
        <v>4160</v>
      </c>
      <c r="H31" s="4">
        <f t="shared" si="2"/>
        <v>0.4854368932038835</v>
      </c>
      <c r="I31" s="5">
        <f t="shared" si="3"/>
        <v>50.485436893203882</v>
      </c>
      <c r="K31" s="8">
        <v>1597</v>
      </c>
      <c r="L31" s="8">
        <v>4500</v>
      </c>
      <c r="M31" s="9">
        <f>MIN(G31, K31, L31)</f>
        <v>1597</v>
      </c>
    </row>
    <row r="32" spans="1:13" x14ac:dyDescent="0.35">
      <c r="A32">
        <v>31</v>
      </c>
      <c r="B32" t="s">
        <v>8</v>
      </c>
      <c r="C32" t="s">
        <v>17</v>
      </c>
      <c r="D32">
        <v>60.7</v>
      </c>
      <c r="E32">
        <v>200</v>
      </c>
      <c r="F32">
        <f t="shared" si="0"/>
        <v>12140</v>
      </c>
      <c r="G32">
        <f t="shared" si="1"/>
        <v>4160</v>
      </c>
      <c r="H32" s="4">
        <f t="shared" si="2"/>
        <v>0.82372322899505768</v>
      </c>
      <c r="I32" s="5">
        <f t="shared" si="3"/>
        <v>85.667215815486003</v>
      </c>
      <c r="K32" s="8">
        <v>1597</v>
      </c>
      <c r="L32" s="8">
        <v>1500</v>
      </c>
      <c r="M32" s="9">
        <f>MIN(G32, K32, L32)</f>
        <v>1500</v>
      </c>
    </row>
    <row r="33" spans="1:13" x14ac:dyDescent="0.35">
      <c r="A33">
        <v>32</v>
      </c>
      <c r="B33" t="s">
        <v>8</v>
      </c>
      <c r="C33" t="s">
        <v>42</v>
      </c>
      <c r="D33">
        <v>11</v>
      </c>
      <c r="E33">
        <v>200</v>
      </c>
      <c r="F33">
        <f t="shared" si="0"/>
        <v>2200</v>
      </c>
      <c r="G33">
        <f t="shared" si="1"/>
        <v>4160</v>
      </c>
      <c r="H33" s="4">
        <f t="shared" si="2"/>
        <v>4.5454545454545459</v>
      </c>
      <c r="I33" s="5">
        <f t="shared" si="3"/>
        <v>472.72727272727275</v>
      </c>
      <c r="K33" s="8">
        <v>1597</v>
      </c>
      <c r="L33" s="8">
        <v>12000</v>
      </c>
      <c r="M33" s="9">
        <f>MIN(G33, K33, L33)</f>
        <v>1597</v>
      </c>
    </row>
    <row r="34" spans="1:13" x14ac:dyDescent="0.35">
      <c r="A34">
        <v>33</v>
      </c>
      <c r="B34" t="s">
        <v>8</v>
      </c>
      <c r="C34" t="s">
        <v>9</v>
      </c>
      <c r="D34">
        <v>33.200000000000003</v>
      </c>
      <c r="E34">
        <v>200</v>
      </c>
      <c r="F34">
        <f t="shared" si="0"/>
        <v>6640.0000000000009</v>
      </c>
      <c r="G34">
        <f t="shared" si="1"/>
        <v>4160</v>
      </c>
      <c r="H34" s="4">
        <f t="shared" si="2"/>
        <v>1.506024096385542</v>
      </c>
      <c r="I34" s="5">
        <f t="shared" si="3"/>
        <v>156.62650602409636</v>
      </c>
      <c r="K34" s="8">
        <v>1597</v>
      </c>
      <c r="L34" s="8">
        <v>23525</v>
      </c>
      <c r="M34" s="9">
        <f>MIN(G34, K34, L34)</f>
        <v>1597</v>
      </c>
    </row>
    <row r="35" spans="1:13" x14ac:dyDescent="0.35">
      <c r="A35">
        <v>34</v>
      </c>
      <c r="B35" t="s">
        <v>8</v>
      </c>
      <c r="C35" t="s">
        <v>10</v>
      </c>
      <c r="D35">
        <v>25.4</v>
      </c>
      <c r="E35">
        <v>200</v>
      </c>
      <c r="F35">
        <f t="shared" si="0"/>
        <v>5080</v>
      </c>
      <c r="G35">
        <f t="shared" si="1"/>
        <v>4160</v>
      </c>
      <c r="H35" s="4">
        <f t="shared" si="2"/>
        <v>1.9685039370078741</v>
      </c>
      <c r="I35" s="5">
        <f t="shared" si="3"/>
        <v>204.7244094488189</v>
      </c>
      <c r="K35" s="8">
        <v>1597</v>
      </c>
      <c r="L35" s="8">
        <v>14983</v>
      </c>
      <c r="M35" s="9">
        <f>MIN(G35, K35, L35)</f>
        <v>1597</v>
      </c>
    </row>
    <row r="36" spans="1:13" x14ac:dyDescent="0.35">
      <c r="A36">
        <v>35</v>
      </c>
      <c r="B36" t="s">
        <v>8</v>
      </c>
      <c r="C36" t="s">
        <v>11</v>
      </c>
      <c r="D36">
        <v>32.9</v>
      </c>
      <c r="E36">
        <v>200</v>
      </c>
      <c r="F36">
        <f t="shared" si="0"/>
        <v>6580</v>
      </c>
      <c r="G36">
        <f t="shared" si="1"/>
        <v>4160</v>
      </c>
      <c r="H36" s="4">
        <f t="shared" si="2"/>
        <v>1.5197568389057752</v>
      </c>
      <c r="I36" s="5">
        <f t="shared" si="3"/>
        <v>158.05471124620061</v>
      </c>
      <c r="K36" s="8">
        <v>1597</v>
      </c>
      <c r="L36" s="8">
        <v>11837</v>
      </c>
      <c r="M36" s="9">
        <f>MIN(G36, K36, L36)</f>
        <v>1597</v>
      </c>
    </row>
    <row r="37" spans="1:13" x14ac:dyDescent="0.35">
      <c r="A37">
        <v>36</v>
      </c>
      <c r="B37" t="s">
        <v>13</v>
      </c>
      <c r="C37" t="s">
        <v>6</v>
      </c>
      <c r="D37">
        <v>27.7</v>
      </c>
      <c r="E37">
        <v>200</v>
      </c>
      <c r="F37">
        <f t="shared" si="0"/>
        <v>5540</v>
      </c>
      <c r="G37">
        <f t="shared" si="1"/>
        <v>4160</v>
      </c>
      <c r="H37" s="4">
        <f t="shared" si="2"/>
        <v>1.8050541516245486</v>
      </c>
      <c r="I37" s="5">
        <f t="shared" si="3"/>
        <v>187.72563176895306</v>
      </c>
      <c r="K37" s="8">
        <v>19378</v>
      </c>
      <c r="L37" s="8">
        <v>4500</v>
      </c>
      <c r="M37" s="9">
        <f>MIN(G37, K37, L37)</f>
        <v>4160</v>
      </c>
    </row>
    <row r="38" spans="1:13" x14ac:dyDescent="0.35">
      <c r="A38">
        <v>37</v>
      </c>
      <c r="B38" t="s">
        <v>13</v>
      </c>
      <c r="C38" t="s">
        <v>7</v>
      </c>
      <c r="D38">
        <v>27.8</v>
      </c>
      <c r="E38">
        <v>200</v>
      </c>
      <c r="F38">
        <f t="shared" si="0"/>
        <v>5560</v>
      </c>
      <c r="G38">
        <f t="shared" si="1"/>
        <v>4160</v>
      </c>
      <c r="H38" s="4">
        <f t="shared" si="2"/>
        <v>1.7985611510791366</v>
      </c>
      <c r="I38" s="5">
        <f t="shared" si="3"/>
        <v>187.0503597122302</v>
      </c>
      <c r="K38" s="8">
        <v>19378</v>
      </c>
      <c r="L38" s="8">
        <v>4500</v>
      </c>
      <c r="M38" s="9">
        <f>MIN(G38, K38, L38)</f>
        <v>4160</v>
      </c>
    </row>
    <row r="39" spans="1:13" x14ac:dyDescent="0.35">
      <c r="A39">
        <v>38</v>
      </c>
      <c r="B39" t="s">
        <v>13</v>
      </c>
      <c r="C39" t="s">
        <v>17</v>
      </c>
      <c r="D39">
        <v>65.099999999999994</v>
      </c>
      <c r="E39">
        <v>200</v>
      </c>
      <c r="F39">
        <f t="shared" si="0"/>
        <v>13019.999999999998</v>
      </c>
      <c r="G39">
        <f t="shared" si="1"/>
        <v>4160</v>
      </c>
      <c r="H39" s="4">
        <f t="shared" si="2"/>
        <v>0.76804915514592942</v>
      </c>
      <c r="I39" s="5">
        <f t="shared" si="3"/>
        <v>79.87711213517666</v>
      </c>
      <c r="K39" s="8">
        <v>19378</v>
      </c>
      <c r="L39" s="8">
        <v>1500</v>
      </c>
      <c r="M39" s="9">
        <f>MIN(G39, K39, L39)</f>
        <v>1500</v>
      </c>
    </row>
    <row r="40" spans="1:13" x14ac:dyDescent="0.35">
      <c r="A40">
        <v>39</v>
      </c>
      <c r="B40" t="s">
        <v>13</v>
      </c>
      <c r="C40" t="s">
        <v>42</v>
      </c>
      <c r="D40">
        <v>64.900000000000006</v>
      </c>
      <c r="E40">
        <v>200</v>
      </c>
      <c r="F40">
        <f t="shared" si="0"/>
        <v>12980.000000000002</v>
      </c>
      <c r="G40">
        <f t="shared" si="1"/>
        <v>4160</v>
      </c>
      <c r="H40" s="4">
        <f t="shared" si="2"/>
        <v>0.77041602465331271</v>
      </c>
      <c r="I40" s="5">
        <f t="shared" si="3"/>
        <v>80.123266563944526</v>
      </c>
      <c r="K40" s="8">
        <v>19378</v>
      </c>
      <c r="L40" s="8">
        <v>12000</v>
      </c>
      <c r="M40" s="9">
        <f>MIN(G40, K40, L40)</f>
        <v>4160</v>
      </c>
    </row>
    <row r="41" spans="1:13" x14ac:dyDescent="0.35">
      <c r="A41">
        <v>40</v>
      </c>
      <c r="B41" t="s">
        <v>13</v>
      </c>
      <c r="C41" t="s">
        <v>9</v>
      </c>
      <c r="D41">
        <v>111</v>
      </c>
      <c r="E41">
        <v>200</v>
      </c>
      <c r="F41">
        <f t="shared" si="0"/>
        <v>22200</v>
      </c>
      <c r="G41">
        <f t="shared" si="1"/>
        <v>4160</v>
      </c>
      <c r="H41" s="4">
        <f t="shared" si="2"/>
        <v>0.45045045045045046</v>
      </c>
      <c r="I41" s="5">
        <f t="shared" si="3"/>
        <v>46.846846846846844</v>
      </c>
      <c r="K41" s="8">
        <v>19378</v>
      </c>
      <c r="L41" s="8">
        <v>23525</v>
      </c>
      <c r="M41" s="9">
        <f>MIN(G41, K41, L41)</f>
        <v>4160</v>
      </c>
    </row>
    <row r="42" spans="1:13" x14ac:dyDescent="0.35">
      <c r="A42">
        <v>41</v>
      </c>
      <c r="B42" t="s">
        <v>13</v>
      </c>
      <c r="C42" t="s">
        <v>10</v>
      </c>
      <c r="D42">
        <v>105</v>
      </c>
      <c r="E42">
        <v>200</v>
      </c>
      <c r="F42">
        <f t="shared" si="0"/>
        <v>21000</v>
      </c>
      <c r="G42">
        <f t="shared" si="1"/>
        <v>4160</v>
      </c>
      <c r="H42" s="4">
        <f t="shared" si="2"/>
        <v>0.47619047619047616</v>
      </c>
      <c r="I42" s="5">
        <f t="shared" si="3"/>
        <v>49.523809523809518</v>
      </c>
      <c r="K42" s="8">
        <v>19378</v>
      </c>
      <c r="L42" s="8">
        <v>14983</v>
      </c>
      <c r="M42" s="9">
        <f>MIN(G42, K42, L42)</f>
        <v>4160</v>
      </c>
    </row>
    <row r="43" spans="1:13" x14ac:dyDescent="0.35">
      <c r="A43">
        <v>42</v>
      </c>
      <c r="B43" t="s">
        <v>13</v>
      </c>
      <c r="C43" t="s">
        <v>11</v>
      </c>
      <c r="D43">
        <v>111</v>
      </c>
      <c r="E43">
        <v>200</v>
      </c>
      <c r="F43">
        <f t="shared" si="0"/>
        <v>22200</v>
      </c>
      <c r="G43">
        <f t="shared" si="1"/>
        <v>4160</v>
      </c>
      <c r="H43" s="4">
        <f t="shared" si="2"/>
        <v>0.45045045045045046</v>
      </c>
      <c r="I43" s="5">
        <f t="shared" si="3"/>
        <v>46.846846846846844</v>
      </c>
      <c r="K43" s="8">
        <v>19378</v>
      </c>
      <c r="L43" s="8">
        <v>11837</v>
      </c>
      <c r="M43" s="9">
        <f>MIN(G43, K43, L43)</f>
        <v>4160</v>
      </c>
    </row>
    <row r="44" spans="1:13" x14ac:dyDescent="0.35">
      <c r="A44">
        <v>43</v>
      </c>
      <c r="B44" t="s">
        <v>14</v>
      </c>
      <c r="C44" t="s">
        <v>6</v>
      </c>
      <c r="D44">
        <v>52.3</v>
      </c>
      <c r="E44">
        <v>200</v>
      </c>
      <c r="F44">
        <f t="shared" si="0"/>
        <v>10460</v>
      </c>
      <c r="G44">
        <f t="shared" si="1"/>
        <v>4160</v>
      </c>
      <c r="H44" s="4">
        <f t="shared" si="2"/>
        <v>0.95602294455066916</v>
      </c>
      <c r="I44" s="5">
        <f t="shared" si="3"/>
        <v>99.426386233269596</v>
      </c>
      <c r="K44" s="8">
        <v>35511</v>
      </c>
      <c r="L44" s="8">
        <v>4500</v>
      </c>
      <c r="M44" s="9">
        <f>MIN(G44, K44, L44)</f>
        <v>4160</v>
      </c>
    </row>
    <row r="45" spans="1:13" x14ac:dyDescent="0.35">
      <c r="A45">
        <v>44</v>
      </c>
      <c r="B45" t="s">
        <v>14</v>
      </c>
      <c r="C45" t="s">
        <v>7</v>
      </c>
      <c r="D45">
        <v>71.599999999999994</v>
      </c>
      <c r="E45">
        <v>200</v>
      </c>
      <c r="F45">
        <f t="shared" si="0"/>
        <v>14319.999999999998</v>
      </c>
      <c r="G45">
        <f t="shared" si="1"/>
        <v>4160</v>
      </c>
      <c r="H45" s="4">
        <f t="shared" si="2"/>
        <v>0.69832402234636881</v>
      </c>
      <c r="I45" s="5">
        <f t="shared" si="3"/>
        <v>72.625698324022352</v>
      </c>
      <c r="K45" s="8">
        <v>35511</v>
      </c>
      <c r="L45" s="8">
        <v>4500</v>
      </c>
      <c r="M45" s="9">
        <f>MIN(G45, K45, L45)</f>
        <v>4160</v>
      </c>
    </row>
    <row r="46" spans="1:13" x14ac:dyDescent="0.35">
      <c r="A46">
        <v>45</v>
      </c>
      <c r="B46" t="s">
        <v>14</v>
      </c>
      <c r="C46" t="s">
        <v>17</v>
      </c>
      <c r="D46">
        <v>75.8</v>
      </c>
      <c r="E46">
        <v>200</v>
      </c>
      <c r="F46">
        <f t="shared" si="0"/>
        <v>15160</v>
      </c>
      <c r="G46">
        <f t="shared" si="1"/>
        <v>4160</v>
      </c>
      <c r="H46" s="4">
        <f t="shared" si="2"/>
        <v>0.65963060686015829</v>
      </c>
      <c r="I46" s="5">
        <f t="shared" si="3"/>
        <v>68.601583113456456</v>
      </c>
      <c r="K46" s="8">
        <v>35511</v>
      </c>
      <c r="L46" s="8">
        <v>1500</v>
      </c>
      <c r="M46" s="9">
        <f>MIN(G46, K46, L46)</f>
        <v>1500</v>
      </c>
    </row>
    <row r="47" spans="1:13" x14ac:dyDescent="0.35">
      <c r="A47">
        <v>46</v>
      </c>
      <c r="B47" t="s">
        <v>14</v>
      </c>
      <c r="C47" t="s">
        <v>42</v>
      </c>
      <c r="D47">
        <v>145</v>
      </c>
      <c r="E47">
        <v>200</v>
      </c>
      <c r="F47">
        <f t="shared" si="0"/>
        <v>29000</v>
      </c>
      <c r="G47">
        <f t="shared" si="1"/>
        <v>4160</v>
      </c>
      <c r="H47" s="4">
        <f t="shared" si="2"/>
        <v>0.34482758620689657</v>
      </c>
      <c r="I47" s="5">
        <f t="shared" si="3"/>
        <v>35.862068965517246</v>
      </c>
      <c r="K47" s="8">
        <v>35511</v>
      </c>
      <c r="L47" s="8">
        <v>12000</v>
      </c>
      <c r="M47" s="9">
        <f>MIN(G47, K47, L47)</f>
        <v>4160</v>
      </c>
    </row>
    <row r="48" spans="1:13" x14ac:dyDescent="0.35">
      <c r="A48">
        <v>47</v>
      </c>
      <c r="B48" t="s">
        <v>14</v>
      </c>
      <c r="C48" t="s">
        <v>9</v>
      </c>
      <c r="D48">
        <v>104</v>
      </c>
      <c r="E48">
        <v>200</v>
      </c>
      <c r="F48">
        <f t="shared" si="0"/>
        <v>20800</v>
      </c>
      <c r="G48">
        <f t="shared" si="1"/>
        <v>4160</v>
      </c>
      <c r="H48" s="4">
        <f t="shared" si="2"/>
        <v>0.48076923076923078</v>
      </c>
      <c r="I48" s="5">
        <f t="shared" si="3"/>
        <v>50</v>
      </c>
      <c r="K48" s="8">
        <v>35511</v>
      </c>
      <c r="L48" s="8">
        <v>23525</v>
      </c>
      <c r="M48" s="9">
        <f>MIN(G48, K48, L48)</f>
        <v>4160</v>
      </c>
    </row>
    <row r="49" spans="1:13" x14ac:dyDescent="0.35">
      <c r="A49">
        <v>48</v>
      </c>
      <c r="B49" t="s">
        <v>14</v>
      </c>
      <c r="C49" t="s">
        <v>10</v>
      </c>
      <c r="D49">
        <v>115</v>
      </c>
      <c r="E49">
        <v>200</v>
      </c>
      <c r="F49">
        <f t="shared" si="0"/>
        <v>23000</v>
      </c>
      <c r="G49">
        <f t="shared" si="1"/>
        <v>4160</v>
      </c>
      <c r="H49" s="4">
        <f t="shared" si="2"/>
        <v>0.43478260869565216</v>
      </c>
      <c r="I49" s="5">
        <f t="shared" si="3"/>
        <v>45.217391304347828</v>
      </c>
      <c r="K49" s="8">
        <v>35511</v>
      </c>
      <c r="L49" s="8">
        <v>14983</v>
      </c>
      <c r="M49" s="9">
        <f>MIN(G49, K49, L49)</f>
        <v>4160</v>
      </c>
    </row>
    <row r="50" spans="1:13" x14ac:dyDescent="0.35">
      <c r="A50">
        <v>49</v>
      </c>
      <c r="B50" t="s">
        <v>14</v>
      </c>
      <c r="C50" t="s">
        <v>11</v>
      </c>
      <c r="D50">
        <v>107</v>
      </c>
      <c r="E50">
        <v>200</v>
      </c>
      <c r="F50">
        <f t="shared" si="0"/>
        <v>21400</v>
      </c>
      <c r="G50">
        <f t="shared" si="1"/>
        <v>4160</v>
      </c>
      <c r="H50" s="4">
        <f t="shared" si="2"/>
        <v>0.46728971962616822</v>
      </c>
      <c r="I50" s="5">
        <f t="shared" si="3"/>
        <v>48.598130841121495</v>
      </c>
      <c r="K50" s="8">
        <v>35511</v>
      </c>
      <c r="L50" s="8">
        <v>11837</v>
      </c>
      <c r="M50" s="9">
        <f>MIN(G50, K50, L50)</f>
        <v>4160</v>
      </c>
    </row>
    <row r="51" spans="1:13" x14ac:dyDescent="0.35">
      <c r="A51">
        <v>50</v>
      </c>
      <c r="B51" t="s">
        <v>6</v>
      </c>
      <c r="C51" t="s">
        <v>9</v>
      </c>
      <c r="D51">
        <v>83.8</v>
      </c>
      <c r="E51">
        <v>200</v>
      </c>
      <c r="F51">
        <f t="shared" si="0"/>
        <v>16760</v>
      </c>
      <c r="G51">
        <f t="shared" si="1"/>
        <v>4160</v>
      </c>
      <c r="H51" s="4">
        <f t="shared" si="2"/>
        <v>0.59665871121718372</v>
      </c>
      <c r="I51" s="5">
        <f t="shared" si="3"/>
        <v>62.052505966587105</v>
      </c>
      <c r="K51" s="8">
        <v>4500</v>
      </c>
      <c r="L51" s="8">
        <v>23525</v>
      </c>
      <c r="M51" s="9">
        <f>MIN(G51, K51, L51)</f>
        <v>4160</v>
      </c>
    </row>
    <row r="52" spans="1:13" x14ac:dyDescent="0.35">
      <c r="A52">
        <v>51</v>
      </c>
      <c r="B52" t="s">
        <v>7</v>
      </c>
      <c r="C52" t="s">
        <v>9</v>
      </c>
      <c r="D52">
        <v>103</v>
      </c>
      <c r="E52">
        <v>200</v>
      </c>
      <c r="F52">
        <f t="shared" si="0"/>
        <v>20600</v>
      </c>
      <c r="G52">
        <f t="shared" si="1"/>
        <v>4160</v>
      </c>
      <c r="H52" s="4">
        <f t="shared" si="2"/>
        <v>0.4854368932038835</v>
      </c>
      <c r="I52" s="5">
        <f t="shared" si="3"/>
        <v>50.485436893203882</v>
      </c>
      <c r="K52" s="8">
        <v>4500</v>
      </c>
      <c r="L52" s="8">
        <v>23525</v>
      </c>
      <c r="M52" s="9">
        <f>MIN(G52, K52, L52)</f>
        <v>4160</v>
      </c>
    </row>
    <row r="53" spans="1:13" x14ac:dyDescent="0.35">
      <c r="A53">
        <v>52</v>
      </c>
      <c r="B53" t="s">
        <v>17</v>
      </c>
      <c r="C53" t="s">
        <v>9</v>
      </c>
      <c r="D53">
        <v>51.9</v>
      </c>
      <c r="E53">
        <v>200</v>
      </c>
      <c r="F53">
        <f t="shared" si="0"/>
        <v>10380</v>
      </c>
      <c r="G53">
        <f t="shared" si="1"/>
        <v>4160</v>
      </c>
      <c r="H53" s="4">
        <f t="shared" si="2"/>
        <v>0.96339113680154143</v>
      </c>
      <c r="I53" s="5">
        <f t="shared" si="3"/>
        <v>100.1926782273603</v>
      </c>
      <c r="K53" s="8">
        <v>1500</v>
      </c>
      <c r="L53" s="8">
        <v>23525</v>
      </c>
      <c r="M53" s="9">
        <f>MIN(G53, K53, L53)</f>
        <v>1500</v>
      </c>
    </row>
    <row r="54" spans="1:13" x14ac:dyDescent="0.35">
      <c r="A54">
        <v>53</v>
      </c>
      <c r="B54" t="s">
        <v>42</v>
      </c>
      <c r="C54" t="s">
        <v>9</v>
      </c>
      <c r="D54">
        <v>44.1</v>
      </c>
      <c r="E54">
        <v>200</v>
      </c>
      <c r="F54">
        <f t="shared" si="0"/>
        <v>8820</v>
      </c>
      <c r="G54">
        <f t="shared" si="1"/>
        <v>4160</v>
      </c>
      <c r="H54" s="4">
        <f t="shared" si="2"/>
        <v>1.1337868480725624</v>
      </c>
      <c r="I54" s="5">
        <f t="shared" si="3"/>
        <v>117.91383219954649</v>
      </c>
      <c r="K54" s="8">
        <v>12000</v>
      </c>
      <c r="L54" s="8">
        <v>23525</v>
      </c>
      <c r="M54" s="9">
        <f>MIN(G54, K54, L54)</f>
        <v>4160</v>
      </c>
    </row>
    <row r="55" spans="1:13" x14ac:dyDescent="0.35">
      <c r="A55">
        <v>54</v>
      </c>
      <c r="B55" t="s">
        <v>6</v>
      </c>
      <c r="C55" t="s">
        <v>10</v>
      </c>
      <c r="D55">
        <v>77.099999999999994</v>
      </c>
      <c r="E55">
        <v>200</v>
      </c>
      <c r="F55">
        <f t="shared" si="0"/>
        <v>15419.999999999998</v>
      </c>
      <c r="G55">
        <f t="shared" si="1"/>
        <v>4160</v>
      </c>
      <c r="H55" s="4">
        <f t="shared" si="2"/>
        <v>0.64850843060959795</v>
      </c>
      <c r="I55" s="5">
        <f t="shared" si="3"/>
        <v>67.444876783398186</v>
      </c>
      <c r="K55" s="8">
        <v>4500</v>
      </c>
      <c r="L55" s="8">
        <v>14983</v>
      </c>
      <c r="M55" s="9">
        <f>MIN(G55, K55, L55)</f>
        <v>4160</v>
      </c>
    </row>
    <row r="56" spans="1:13" x14ac:dyDescent="0.35">
      <c r="A56">
        <v>55</v>
      </c>
      <c r="B56" t="s">
        <v>7</v>
      </c>
      <c r="C56" t="s">
        <v>10</v>
      </c>
      <c r="D56">
        <v>96.5</v>
      </c>
      <c r="E56">
        <v>200</v>
      </c>
      <c r="F56">
        <f t="shared" si="0"/>
        <v>19300</v>
      </c>
      <c r="G56">
        <f t="shared" si="1"/>
        <v>4160</v>
      </c>
      <c r="H56" s="4">
        <f t="shared" si="2"/>
        <v>0.51813471502590669</v>
      </c>
      <c r="I56" s="5">
        <f t="shared" si="3"/>
        <v>53.886010362694293</v>
      </c>
      <c r="K56" s="8">
        <v>4500</v>
      </c>
      <c r="L56" s="8">
        <v>14983</v>
      </c>
      <c r="M56" s="9">
        <f>MIN(G56, K56, L56)</f>
        <v>4160</v>
      </c>
    </row>
    <row r="57" spans="1:13" x14ac:dyDescent="0.35">
      <c r="A57">
        <v>56</v>
      </c>
      <c r="B57" t="s">
        <v>17</v>
      </c>
      <c r="C57" t="s">
        <v>10</v>
      </c>
      <c r="D57">
        <v>45.2</v>
      </c>
      <c r="E57">
        <v>200</v>
      </c>
      <c r="F57">
        <f t="shared" si="0"/>
        <v>9040</v>
      </c>
      <c r="G57">
        <f t="shared" si="1"/>
        <v>4160</v>
      </c>
      <c r="H57" s="4">
        <f t="shared" si="2"/>
        <v>1.1061946902654867</v>
      </c>
      <c r="I57" s="5">
        <f t="shared" si="3"/>
        <v>115.04424778761062</v>
      </c>
      <c r="K57" s="8">
        <v>1500</v>
      </c>
      <c r="L57" s="8">
        <v>14983</v>
      </c>
      <c r="M57" s="9">
        <f>MIN(G57, K57, L57)</f>
        <v>1500</v>
      </c>
    </row>
    <row r="58" spans="1:13" x14ac:dyDescent="0.35">
      <c r="A58">
        <v>57</v>
      </c>
      <c r="B58" t="s">
        <v>42</v>
      </c>
      <c r="C58" t="s">
        <v>10</v>
      </c>
      <c r="D58">
        <v>36.4</v>
      </c>
      <c r="E58">
        <v>200</v>
      </c>
      <c r="F58">
        <f t="shared" si="0"/>
        <v>7280</v>
      </c>
      <c r="G58">
        <f t="shared" si="1"/>
        <v>4160</v>
      </c>
      <c r="H58" s="4">
        <f t="shared" si="2"/>
        <v>1.3736263736263736</v>
      </c>
      <c r="I58" s="5">
        <f t="shared" si="3"/>
        <v>142.85714285714286</v>
      </c>
      <c r="K58" s="8">
        <v>12000</v>
      </c>
      <c r="L58" s="8">
        <v>14983</v>
      </c>
      <c r="M58" s="9">
        <f>MIN(G58, K58, L58)</f>
        <v>4160</v>
      </c>
    </row>
    <row r="59" spans="1:13" x14ac:dyDescent="0.35">
      <c r="A59">
        <v>58</v>
      </c>
      <c r="B59" t="s">
        <v>6</v>
      </c>
      <c r="C59" t="s">
        <v>11</v>
      </c>
      <c r="D59">
        <v>83.4</v>
      </c>
      <c r="E59">
        <v>200</v>
      </c>
      <c r="F59">
        <f t="shared" si="0"/>
        <v>16680</v>
      </c>
      <c r="G59">
        <f t="shared" si="1"/>
        <v>4160</v>
      </c>
      <c r="H59" s="4">
        <f t="shared" si="2"/>
        <v>0.59952038369304561</v>
      </c>
      <c r="I59" s="5">
        <f t="shared" si="3"/>
        <v>62.350119904076742</v>
      </c>
      <c r="K59" s="8">
        <v>4500</v>
      </c>
      <c r="L59" s="8">
        <v>11837</v>
      </c>
      <c r="M59" s="9">
        <f>MIN(G59, K59, L59)</f>
        <v>4160</v>
      </c>
    </row>
    <row r="60" spans="1:13" x14ac:dyDescent="0.35">
      <c r="A60">
        <v>59</v>
      </c>
      <c r="B60" t="s">
        <v>7</v>
      </c>
      <c r="C60" t="s">
        <v>11</v>
      </c>
      <c r="D60">
        <v>103</v>
      </c>
      <c r="E60">
        <v>200</v>
      </c>
      <c r="F60">
        <f t="shared" si="0"/>
        <v>20600</v>
      </c>
      <c r="G60">
        <f t="shared" si="1"/>
        <v>4160</v>
      </c>
      <c r="H60" s="4">
        <f t="shared" si="2"/>
        <v>0.4854368932038835</v>
      </c>
      <c r="I60" s="5">
        <f t="shared" si="3"/>
        <v>50.485436893203882</v>
      </c>
      <c r="K60" s="8">
        <v>4500</v>
      </c>
      <c r="L60" s="8">
        <v>11837</v>
      </c>
      <c r="M60" s="9">
        <f>MIN(G60, K60, L60)</f>
        <v>4160</v>
      </c>
    </row>
    <row r="61" spans="1:13" x14ac:dyDescent="0.35">
      <c r="A61">
        <v>60</v>
      </c>
      <c r="B61" t="s">
        <v>17</v>
      </c>
      <c r="C61" t="s">
        <v>11</v>
      </c>
      <c r="D61">
        <v>51.5</v>
      </c>
      <c r="E61">
        <v>200</v>
      </c>
      <c r="F61">
        <f t="shared" si="0"/>
        <v>10300</v>
      </c>
      <c r="G61">
        <f t="shared" si="1"/>
        <v>4160</v>
      </c>
      <c r="H61" s="4">
        <f t="shared" si="2"/>
        <v>0.970873786407767</v>
      </c>
      <c r="I61" s="5">
        <f t="shared" si="3"/>
        <v>100.97087378640776</v>
      </c>
      <c r="K61" s="8">
        <v>1500</v>
      </c>
      <c r="L61" s="8">
        <v>11837</v>
      </c>
      <c r="M61" s="9">
        <f>MIN(G61, K61, L61)</f>
        <v>1500</v>
      </c>
    </row>
    <row r="62" spans="1:13" x14ac:dyDescent="0.35">
      <c r="A62">
        <v>61</v>
      </c>
      <c r="B62" t="s">
        <v>42</v>
      </c>
      <c r="C62" t="s">
        <v>11</v>
      </c>
      <c r="D62">
        <v>43.7</v>
      </c>
      <c r="E62">
        <v>200</v>
      </c>
      <c r="F62">
        <f t="shared" si="0"/>
        <v>8740</v>
      </c>
      <c r="G62">
        <f t="shared" si="1"/>
        <v>4160</v>
      </c>
      <c r="H62" s="4">
        <f t="shared" si="2"/>
        <v>1.1441647597254005</v>
      </c>
      <c r="I62" s="5">
        <f t="shared" si="3"/>
        <v>118.99313501144165</v>
      </c>
      <c r="K62" s="8">
        <v>12000</v>
      </c>
      <c r="L62" s="8">
        <v>11837</v>
      </c>
      <c r="M62" s="9">
        <f>MIN(G62, K62, L62)</f>
        <v>4160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D8AA-BED5-4D37-AEEC-47D55B1765E6}">
  <dimension ref="A1:B17"/>
  <sheetViews>
    <sheetView workbookViewId="0">
      <selection sqref="A1:B17"/>
    </sheetView>
  </sheetViews>
  <sheetFormatPr defaultRowHeight="14.5" x14ac:dyDescent="0.35"/>
  <cols>
    <col min="1" max="1" width="34.7265625" customWidth="1"/>
    <col min="2" max="2" width="16.6328125" customWidth="1"/>
  </cols>
  <sheetData>
    <row r="1" spans="1:2" x14ac:dyDescent="0.35">
      <c r="A1" s="11" t="s">
        <v>43</v>
      </c>
      <c r="B1" s="11"/>
    </row>
    <row r="2" spans="1:2" x14ac:dyDescent="0.35">
      <c r="A2" t="s">
        <v>2</v>
      </c>
      <c r="B2">
        <v>112485.24338</v>
      </c>
    </row>
    <row r="3" spans="1:2" x14ac:dyDescent="0.35">
      <c r="A3" t="s">
        <v>3</v>
      </c>
      <c r="B3">
        <v>48783.338799999998</v>
      </c>
    </row>
    <row r="4" spans="1:2" x14ac:dyDescent="0.35">
      <c r="A4" t="s">
        <v>14</v>
      </c>
      <c r="B4">
        <v>35510.771119999998</v>
      </c>
    </row>
    <row r="5" spans="1:2" x14ac:dyDescent="0.35">
      <c r="A5" t="s">
        <v>12</v>
      </c>
      <c r="B5">
        <v>25981.534479999998</v>
      </c>
    </row>
    <row r="6" spans="1:2" x14ac:dyDescent="0.35">
      <c r="A6" t="s">
        <v>13</v>
      </c>
      <c r="B6">
        <v>19377.619839999999</v>
      </c>
    </row>
    <row r="7" spans="1:2" x14ac:dyDescent="0.35">
      <c r="A7" t="s">
        <v>4</v>
      </c>
      <c r="B7">
        <v>5020.9647399999994</v>
      </c>
    </row>
    <row r="8" spans="1:2" x14ac:dyDescent="0.35">
      <c r="A8" t="s">
        <v>8</v>
      </c>
      <c r="B8">
        <v>1596.93174</v>
      </c>
    </row>
    <row r="9" spans="1:2" x14ac:dyDescent="0.35">
      <c r="A9" s="11" t="s">
        <v>44</v>
      </c>
      <c r="B9" s="11"/>
    </row>
    <row r="10" spans="1:2" x14ac:dyDescent="0.35">
      <c r="A10" t="s">
        <v>9</v>
      </c>
      <c r="B10">
        <v>-23525.0671</v>
      </c>
    </row>
    <row r="11" spans="1:2" x14ac:dyDescent="0.35">
      <c r="A11" t="s">
        <v>10</v>
      </c>
      <c r="B11">
        <v>-14983.11202</v>
      </c>
    </row>
    <row r="12" spans="1:2" x14ac:dyDescent="0.35">
      <c r="A12" t="s">
        <v>11</v>
      </c>
      <c r="B12">
        <v>-11837.378980000001</v>
      </c>
    </row>
    <row r="13" spans="1:2" x14ac:dyDescent="0.35">
      <c r="A13" s="11" t="s">
        <v>45</v>
      </c>
      <c r="B13" s="11"/>
    </row>
    <row r="14" spans="1:2" x14ac:dyDescent="0.35">
      <c r="A14" t="s">
        <v>6</v>
      </c>
      <c r="B14">
        <v>4500</v>
      </c>
    </row>
    <row r="15" spans="1:2" x14ac:dyDescent="0.35">
      <c r="A15" t="s">
        <v>7</v>
      </c>
      <c r="B15">
        <v>4500</v>
      </c>
    </row>
    <row r="16" spans="1:2" x14ac:dyDescent="0.35">
      <c r="A16" t="s">
        <v>17</v>
      </c>
      <c r="B16">
        <v>1500</v>
      </c>
    </row>
    <row r="17" spans="1:2" x14ac:dyDescent="0.35">
      <c r="A17" t="s">
        <v>42</v>
      </c>
      <c r="B17">
        <v>12000</v>
      </c>
    </row>
  </sheetData>
  <mergeCells count="3">
    <mergeCell ref="A1:B1"/>
    <mergeCell ref="A9:B9"/>
    <mergeCell ref="A13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297A-412A-47F0-96F8-42AE4E9C9688}">
  <dimension ref="A1:B20"/>
  <sheetViews>
    <sheetView workbookViewId="0">
      <selection activeCell="B24" sqref="B24"/>
    </sheetView>
  </sheetViews>
  <sheetFormatPr defaultRowHeight="14.5" x14ac:dyDescent="0.35"/>
  <cols>
    <col min="1" max="1" width="19.08984375" customWidth="1"/>
    <col min="2" max="2" width="98.1796875" bestFit="1" customWidth="1"/>
  </cols>
  <sheetData>
    <row r="1" spans="1:2" x14ac:dyDescent="0.35">
      <c r="A1" s="1" t="s">
        <v>0</v>
      </c>
      <c r="B1" s="1" t="s">
        <v>24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26</v>
      </c>
    </row>
    <row r="4" spans="1:2" x14ac:dyDescent="0.35">
      <c r="A4" t="s">
        <v>4</v>
      </c>
      <c r="B4" t="s">
        <v>27</v>
      </c>
    </row>
    <row r="5" spans="1:2" x14ac:dyDescent="0.35">
      <c r="A5" t="s">
        <v>19</v>
      </c>
      <c r="B5" t="s">
        <v>29</v>
      </c>
    </row>
    <row r="6" spans="1:2" x14ac:dyDescent="0.35">
      <c r="A6" t="s">
        <v>8</v>
      </c>
      <c r="B6" t="s">
        <v>30</v>
      </c>
    </row>
    <row r="7" spans="1:2" x14ac:dyDescent="0.35">
      <c r="A7" t="s">
        <v>13</v>
      </c>
      <c r="B7" t="s">
        <v>31</v>
      </c>
    </row>
    <row r="8" spans="1:2" x14ac:dyDescent="0.35">
      <c r="A8" t="s">
        <v>14</v>
      </c>
      <c r="B8" t="s">
        <v>32</v>
      </c>
    </row>
    <row r="13" spans="1:2" x14ac:dyDescent="0.35">
      <c r="A13" s="1" t="s">
        <v>1</v>
      </c>
      <c r="B13" s="1" t="s">
        <v>24</v>
      </c>
    </row>
    <row r="14" spans="1:2" x14ac:dyDescent="0.35">
      <c r="A14" t="s">
        <v>6</v>
      </c>
      <c r="B14" t="s">
        <v>28</v>
      </c>
    </row>
    <row r="15" spans="1:2" x14ac:dyDescent="0.35">
      <c r="A15" t="s">
        <v>7</v>
      </c>
      <c r="B15" t="s">
        <v>22</v>
      </c>
    </row>
    <row r="16" spans="1:2" x14ac:dyDescent="0.35">
      <c r="A16" t="s">
        <v>17</v>
      </c>
      <c r="B16" t="s">
        <v>21</v>
      </c>
    </row>
    <row r="17" spans="1:2" x14ac:dyDescent="0.35">
      <c r="A17" t="s">
        <v>42</v>
      </c>
      <c r="B17" t="s">
        <v>23</v>
      </c>
    </row>
    <row r="18" spans="1:2" x14ac:dyDescent="0.35">
      <c r="A18" t="s">
        <v>9</v>
      </c>
      <c r="B18" t="s">
        <v>20</v>
      </c>
    </row>
    <row r="19" spans="1:2" x14ac:dyDescent="0.35">
      <c r="A19" t="s">
        <v>10</v>
      </c>
      <c r="B19" t="s">
        <v>25</v>
      </c>
    </row>
    <row r="20" spans="1:2" x14ac:dyDescent="0.35">
      <c r="A20" t="s">
        <v>11</v>
      </c>
      <c r="B2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Nodes</vt:lpstr>
      <vt:lpstr>Locations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croix SHIMIMANA</cp:lastModifiedBy>
  <dcterms:created xsi:type="dcterms:W3CDTF">2025-06-19T22:01:44Z</dcterms:created>
  <dcterms:modified xsi:type="dcterms:W3CDTF">2025-06-21T12:21:28Z</dcterms:modified>
</cp:coreProperties>
</file>